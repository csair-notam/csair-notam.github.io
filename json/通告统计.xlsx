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29"/>
  <workbookPr/>
  <mc:AlternateContent xmlns:mc="http://schemas.openxmlformats.org/markup-compatibility/2006">
    <mc:Choice Requires="x15">
      <x15ac:absPath xmlns:x15ac="http://schemas.microsoft.com/office/spreadsheetml/2010/11/ac" url="D:\通告室\h5-bill-master\json\"/>
    </mc:Choice>
  </mc:AlternateContent>
  <xr:revisionPtr revIDLastSave="0" documentId="13_ncr:1_{FEC2086D-154F-46F5-8023-1215457226B4}" xr6:coauthVersionLast="47" xr6:coauthVersionMax="47" xr10:uidLastSave="{00000000-0000-0000-0000-000000000000}"/>
  <bookViews>
    <workbookView xWindow="-110" yWindow="-110" windowWidth="21820" windowHeight="13120" activeTab="1" xr2:uid="{00000000-000D-0000-FFFF-FFFF00000000}"/>
  </bookViews>
  <sheets>
    <sheet name="Sheet1" sheetId="5" r:id="rId1"/>
    <sheet name="处理量" sheetId="4" r:id="rId2"/>
  </sheets>
  <definedNames>
    <definedName name="_xlnm._FilterDatabase" localSheetId="1" hidden="1">处理量!$A$1:$P$26</definedName>
  </definedNames>
  <calcPr calcId="191029"/>
  <pivotCaches>
    <pivotCache cacheId="2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<sst xmlns="http://schemas.openxmlformats.org/spreadsheetml/2006/main" count="94" uniqueCount="45">
  <si>
    <t>李娜</t>
  </si>
  <si>
    <t>宋秋俊</t>
  </si>
  <si>
    <t>王瑞琨</t>
  </si>
  <si>
    <t>王羽</t>
  </si>
  <si>
    <t>潘宇超</t>
  </si>
  <si>
    <t>李鹉亨</t>
  </si>
  <si>
    <t>王康健</t>
  </si>
  <si>
    <t>瞿也丰</t>
  </si>
  <si>
    <t>曹百灿</t>
  </si>
  <si>
    <t>黄俊贤</t>
  </si>
  <si>
    <t>曾崇</t>
  </si>
  <si>
    <t>徐健昌</t>
  </si>
  <si>
    <t>张泽楷</t>
  </si>
  <si>
    <t>窦振宗</t>
  </si>
  <si>
    <t>谢思源</t>
  </si>
  <si>
    <t>吕锋</t>
  </si>
  <si>
    <t>丁立鑫</t>
  </si>
  <si>
    <t>王亦强</t>
  </si>
  <si>
    <t>辜汝桐</t>
  </si>
  <si>
    <t>段一凡</t>
  </si>
  <si>
    <t>何信远</t>
  </si>
  <si>
    <t>王子众</t>
  </si>
  <si>
    <t>陈康</t>
  </si>
  <si>
    <t>胡中荷</t>
  </si>
  <si>
    <t>员工号</t>
  </si>
  <si>
    <t>姓名</t>
  </si>
  <si>
    <t>工作分值</t>
  </si>
  <si>
    <t>出勤天数</t>
  </si>
  <si>
    <t>夜班数</t>
  </si>
  <si>
    <t>通宵</t>
  </si>
  <si>
    <t>通告处理量</t>
  </si>
  <si>
    <t>一级通告（机场跑道关闭、空域关闭）</t>
  </si>
  <si>
    <t>缪沁歧</t>
  </si>
  <si>
    <t>工作分值比例</t>
    <phoneticPr fontId="2" type="noConversion"/>
  </si>
  <si>
    <t>处理通告最多的月份</t>
    <phoneticPr fontId="2" type="noConversion"/>
  </si>
  <si>
    <t>处理通告最多的日期</t>
    <phoneticPr fontId="2" type="noConversion"/>
  </si>
  <si>
    <t>处理通告最多的数量</t>
    <phoneticPr fontId="2" type="noConversion"/>
  </si>
  <si>
    <t>科室</t>
    <phoneticPr fontId="2" type="noConversion"/>
  </si>
  <si>
    <t>航行通告室</t>
    <phoneticPr fontId="2" type="noConversion"/>
  </si>
  <si>
    <t>最黑的仔（夜班遇到西北禁航通告最多的数目）</t>
    <phoneticPr fontId="2" type="noConversion"/>
  </si>
  <si>
    <t>最黑的日子（夜班遇到西北禁航通告最多的一天）</t>
    <phoneticPr fontId="2" type="noConversion"/>
  </si>
  <si>
    <t>最黑的月（夜班遇到西北禁航通告最多的月）</t>
    <phoneticPr fontId="2" type="noConversion"/>
  </si>
  <si>
    <t>最大值项:处理通告最多的数量</t>
  </si>
  <si>
    <t>行标签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</si>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</sst>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4" x14ac:knownFonts="1">
    <font>
      <sz val="11"/>
      <color theme="1"/>
      <name val="宋体"/>
      <charset val="134"/>
      <scheme val="minor"/>
    </font>
    <font>
      <b/>
      <sz val="12"/>
      <name val="楷体"/>
      <family val="3"/>
      <charset val="134"/>
    </font>
    <font>
      <sz val="9"/>
      <name val="宋体"/>
      <family val="3"/>
      <charset val="134"/>
      <scheme val="minor"/>
    </font>
    <font>
      <b/>
      <sz val="12"/>
      <name val="楷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0" fillId="0" borderId="1" xfId="0" applyBorder="1">
      <alignment vertical="center"/>
    </xf>
    <xf numFmtId="0" fontId="0" fillId="0" borderId="1" xfId="0" applyBorder="1">
      <alignment vertical="center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10" fontId="0" fillId="0" borderId="0" xfId="0" applyNumberFormat="1">
      <alignment vertical="center"/>
    </xf>
    <xf numFmtId="176" fontId="1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[通告统计.xlsx]Sheet1!数据透视表6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Sheet1!$A$2:$A$27</c:f>
              <c:strCache>
                <c:ptCount val="25"/>
                <c:pt idx="0">
                  <c:v>曹百灿</c:v>
                </c:pt>
                <c:pt idx="1">
                  <c:v>曾崇</c:v>
                </c:pt>
                <c:pt idx="2">
                  <c:v>陈康</c:v>
                </c:pt>
                <c:pt idx="3">
                  <c:v>丁立鑫</c:v>
                </c:pt>
                <c:pt idx="4">
                  <c:v>窦振宗</c:v>
                </c:pt>
                <c:pt idx="5">
                  <c:v>段一凡</c:v>
                </c:pt>
                <c:pt idx="6">
                  <c:v>辜汝桐</c:v>
                </c:pt>
                <c:pt idx="7">
                  <c:v>何信远</c:v>
                </c:pt>
                <c:pt idx="8">
                  <c:v>胡中荷</c:v>
                </c:pt>
                <c:pt idx="9">
                  <c:v>黄俊贤</c:v>
                </c:pt>
                <c:pt idx="10">
                  <c:v>李娜</c:v>
                </c:pt>
                <c:pt idx="11">
                  <c:v>李鹉亨</c:v>
                </c:pt>
                <c:pt idx="12">
                  <c:v>吕锋</c:v>
                </c:pt>
                <c:pt idx="13">
                  <c:v>缪沁歧</c:v>
                </c:pt>
                <c:pt idx="14">
                  <c:v>潘宇超</c:v>
                </c:pt>
                <c:pt idx="15">
                  <c:v>瞿也丰</c:v>
                </c:pt>
                <c:pt idx="16">
                  <c:v>宋秋俊</c:v>
                </c:pt>
                <c:pt idx="17">
                  <c:v>王康健</c:v>
                </c:pt>
                <c:pt idx="18">
                  <c:v>王瑞琨</c:v>
                </c:pt>
                <c:pt idx="19">
                  <c:v>王亦强</c:v>
                </c:pt>
                <c:pt idx="20">
                  <c:v>王羽</c:v>
                </c:pt>
                <c:pt idx="21">
                  <c:v>王子众</c:v>
                </c:pt>
                <c:pt idx="22">
                  <c:v>谢思源</c:v>
                </c:pt>
                <c:pt idx="23">
                  <c:v>徐健昌</c:v>
                </c:pt>
                <c:pt idx="24">
                  <c:v>张泽楷</c:v>
                </c:pt>
              </c:strCache>
            </c:strRef>
          </c:cat>
          <c:val>
            <c:numRef>
              <c:f>Sheet1!$B$2:$B$27</c:f>
              <c:numCache>
                <c:formatCode>0.00%</c:formatCode>
                <c:ptCount val="25"/>
                <c:pt idx="0">
                  <c:v>0</c:v>
                </c:pt>
                <c:pt idx="1">
                  <c:v>0.53120243531202438</c:v>
                </c:pt>
                <c:pt idx="2">
                  <c:v>0</c:v>
                </c:pt>
                <c:pt idx="3">
                  <c:v>0.70167427701674279</c:v>
                </c:pt>
                <c:pt idx="4">
                  <c:v>0.88736681887366819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0.68797564687975643</c:v>
                </c:pt>
                <c:pt idx="10">
                  <c:v>0.98934550989345504</c:v>
                </c:pt>
                <c:pt idx="11">
                  <c:v>0.52359208523592082</c:v>
                </c:pt>
                <c:pt idx="12">
                  <c:v>0.71537290715372903</c:v>
                </c:pt>
                <c:pt idx="13">
                  <c:v>0</c:v>
                </c:pt>
                <c:pt idx="14">
                  <c:v>0.82952815829528159</c:v>
                </c:pt>
                <c:pt idx="15">
                  <c:v>0.46879756468797562</c:v>
                </c:pt>
                <c:pt idx="16">
                  <c:v>0.67884322678843223</c:v>
                </c:pt>
                <c:pt idx="17">
                  <c:v>0.82800608828006084</c:v>
                </c:pt>
                <c:pt idx="18">
                  <c:v>0.68493150684931503</c:v>
                </c:pt>
                <c:pt idx="19">
                  <c:v>0.72602739726027399</c:v>
                </c:pt>
                <c:pt idx="20">
                  <c:v>0</c:v>
                </c:pt>
                <c:pt idx="21">
                  <c:v>0</c:v>
                </c:pt>
                <c:pt idx="22">
                  <c:v>0.62709284627092843</c:v>
                </c:pt>
                <c:pt idx="23">
                  <c:v>0.58599695585996958</c:v>
                </c:pt>
                <c:pt idx="24">
                  <c:v>0.54185692541856922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CF-48A9-A9A0-FA607C2C3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5595200"/>
        <c:axId val="36376864"/>
      </c:barChart>
      <c:catAx>
        <c:axId val="186559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376864"/>
        <c:crosses val="autoZero"/>
        <c:auto val="1"/>
        <c:lblAlgn val="ctr"/>
        <c:lblOffset val="100"/>
        <c:noMultiLvlLbl val="0"/>
      </c:catAx>
      <c:valAx>
        <c:axId val="3637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6559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488950</xdr:colOff>
      <xdr:row>1</xdr:row>
      <xdr:rowOff>36830</xdr:rowOff>
    </xdr:from>
    <xdr:to>
      <xdr:col>12</xdr:col>
      <xdr:colOff>184150</xdr:colOff>
      <xdr:row>16</xdr:row>
      <xdr:rowOff>24130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0690EC7-7017-441A-BE46-E627147E3D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青蛙" refreshedDate="44587.625933333336" createdVersion="7" refreshedVersion="7" minRefreshableVersion="3" recordCount="25" xr:uid="{961982AB-4C96-4113-AD1C-DC3BD7550969}">
  <cacheSource type="worksheet">
    <worksheetSource ref="C1:P26" sheet="处理量"/>
  </cacheSource>
  <cacheFields count="15">
    <cacheField name="姓名" numFmtId="0">
      <sharedItems count="25">
        <s v="王羽"/>
        <s v="曹百灿"/>
        <s v="胡中荷"/>
        <s v="缪沁歧"/>
        <s v="段一凡"/>
        <s v="何信远"/>
        <s v="王子众"/>
        <s v="陈康"/>
        <s v="张泽楷"/>
        <s v="李鹉亨"/>
        <s v="宋秋俊"/>
        <s v="李娜"/>
        <s v="王康健"/>
        <s v="辜汝桐"/>
        <s v="王瑞琨"/>
        <s v="王亦强"/>
        <s v="丁立鑫"/>
        <s v="谢思源"/>
        <s v="窦振宗"/>
        <s v="徐健昌"/>
        <s v="潘宇超"/>
        <s v="黄俊贤"/>
        <s v="吕锋"/>
        <s v="曾崇"/>
        <s v="瞿也丰"/>
      </sharedItems>
    </cacheField>
    <cacheField name="工作分值比例" numFmtId="10">
      <sharedItems containsSemiMixedTypes="0" containsString="0" containsNumber="1" minValue="0.11173757047667862" maxValue="1"/>
    </cacheField>
    <cacheField name="工作分值" numFmtId="176">
      <sharedItems containsSemiMixedTypes="0" containsString="0" containsNumber="1" containsInteger="1" minValue="218" maxValue="1951"/>
    </cacheField>
    <cacheField name="出勤天数" numFmtId="0">
      <sharedItems containsSemiMixedTypes="0" containsString="0" containsNumber="1" containsInteger="1" minValue="27" maxValue="245"/>
    </cacheField>
    <cacheField name="夜班数" numFmtId="0">
      <sharedItems containsSemiMixedTypes="0" containsString="0" containsNumber="1" containsInteger="1" minValue="0" maxValue="67"/>
    </cacheField>
    <cacheField name="通宵" numFmtId="0">
      <sharedItems containsSemiMixedTypes="0" containsString="0" containsNumber="1" containsInteger="1" minValue="0" maxValue="46"/>
    </cacheField>
    <cacheField name="通告处理量" numFmtId="0">
      <sharedItems containsString="0" containsBlank="1" containsNumber="1" containsInteger="1" minValue="9032" maxValue="60342"/>
    </cacheField>
    <cacheField name="一级通告（机场跑道关闭、空域关闭）" numFmtId="0">
      <sharedItems containsString="0" containsBlank="1" containsNumber="1" containsInteger="1" minValue="846" maxValue="5326"/>
    </cacheField>
    <cacheField name="最黑的月（夜班遇到西北禁航通告最多的月）" numFmtId="0">
      <sharedItems containsString="0" containsBlank="1" containsNumber="1" containsInteger="1" minValue="4" maxValue="12"/>
    </cacheField>
    <cacheField name="最黑的日子（夜班遇到西北禁航通告最多的一天）" numFmtId="0">
      <sharedItems containsString="0" containsBlank="1" containsNumber="1" containsInteger="1" minValue="1" maxValue="30"/>
    </cacheField>
    <cacheField name="最黑的仔（夜班遇到西北禁航通告最多的数目）" numFmtId="0">
      <sharedItems containsString="0" containsBlank="1" containsNumber="1" containsInteger="1" minValue="5" maxValue="55"/>
    </cacheField>
    <cacheField name="最黑的仔" numFmtId="0">
      <sharedItems containsString="0" containsBlank="1" containsNumber="1" containsInteger="1" minValue="0" maxValue="100"/>
    </cacheField>
    <cacheField name="处理通告最多的月份" numFmtId="0">
      <sharedItems containsString="0" containsBlank="1" containsNumber="1" containsInteger="1" minValue="2" maxValue="12"/>
    </cacheField>
    <cacheField name="处理通告最多的日期" numFmtId="0">
      <sharedItems containsString="0" containsBlank="1" containsNumber="1" containsInteger="1" minValue="1" maxValue="31"/>
    </cacheField>
    <cacheField name="处理通告最多的数量" numFmtId="0">
      <sharedItems containsString="0" containsBlank="1" containsNumber="1" containsInteger="1" minValue="308" maxValue="657" count="18">
        <m/>
        <n v="356"/>
        <n v="344"/>
        <n v="446"/>
        <n v="650"/>
        <n v="544"/>
        <n v="657"/>
        <n v="450"/>
        <n v="477"/>
        <n v="461"/>
        <n v="412"/>
        <n v="583"/>
        <n v="385"/>
        <n v="545"/>
        <n v="452"/>
        <n v="470"/>
        <n v="349"/>
        <n v="30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n v="0.11173757047667862"/>
    <n v="218"/>
    <n v="27"/>
    <n v="1"/>
    <n v="0"/>
    <m/>
    <m/>
    <m/>
    <m/>
    <m/>
    <m/>
    <m/>
    <m/>
    <x v="0"/>
  </r>
  <r>
    <x v="1"/>
    <n v="0.15274218349564325"/>
    <n v="298"/>
    <n v="38"/>
    <n v="1"/>
    <n v="0"/>
    <m/>
    <m/>
    <m/>
    <m/>
    <m/>
    <m/>
    <m/>
    <m/>
    <x v="0"/>
  </r>
  <r>
    <x v="2"/>
    <n v="0.2009226037929267"/>
    <n v="392"/>
    <n v="54"/>
    <n v="0"/>
    <n v="0"/>
    <m/>
    <m/>
    <m/>
    <m/>
    <m/>
    <m/>
    <m/>
    <m/>
    <x v="0"/>
  </r>
  <r>
    <x v="3"/>
    <n v="0.20604818042029729"/>
    <n v="402"/>
    <n v="54"/>
    <n v="0"/>
    <n v="0"/>
    <m/>
    <m/>
    <m/>
    <m/>
    <m/>
    <m/>
    <m/>
    <m/>
    <x v="0"/>
  </r>
  <r>
    <x v="4"/>
    <n v="0.20656073808303435"/>
    <n v="403"/>
    <n v="54"/>
    <n v="0"/>
    <n v="0"/>
    <m/>
    <m/>
    <m/>
    <m/>
    <m/>
    <m/>
    <m/>
    <m/>
    <x v="0"/>
  </r>
  <r>
    <x v="5"/>
    <n v="0.20707329574577141"/>
    <n v="404"/>
    <n v="54"/>
    <n v="0"/>
    <n v="0"/>
    <m/>
    <m/>
    <m/>
    <m/>
    <m/>
    <m/>
    <m/>
    <m/>
    <x v="0"/>
  </r>
  <r>
    <x v="6"/>
    <n v="0.20707329574577141"/>
    <n v="404"/>
    <n v="54"/>
    <n v="0"/>
    <n v="0"/>
    <m/>
    <m/>
    <m/>
    <m/>
    <m/>
    <m/>
    <m/>
    <m/>
    <x v="0"/>
  </r>
  <r>
    <x v="7"/>
    <n v="0.20707329574577141"/>
    <n v="404"/>
    <n v="54"/>
    <n v="0"/>
    <n v="0"/>
    <m/>
    <m/>
    <m/>
    <m/>
    <m/>
    <m/>
    <m/>
    <m/>
    <x v="0"/>
  </r>
  <r>
    <x v="8"/>
    <n v="0.47462839569451565"/>
    <n v="926"/>
    <n v="112"/>
    <n v="22"/>
    <n v="15"/>
    <n v="9032"/>
    <n v="846"/>
    <n v="11"/>
    <n v="26"/>
    <n v="5"/>
    <n v="0"/>
    <n v="12"/>
    <n v="8"/>
    <x v="1"/>
  </r>
  <r>
    <x v="9"/>
    <n v="0.72321886212198871"/>
    <n v="1411"/>
    <n v="173"/>
    <n v="39"/>
    <n v="19"/>
    <n v="29871"/>
    <n v="3439"/>
    <n v="7"/>
    <n v="23"/>
    <n v="43"/>
    <n v="50"/>
    <n v="5"/>
    <n v="20"/>
    <x v="2"/>
  </r>
  <r>
    <x v="10"/>
    <n v="0.80522808815991798"/>
    <n v="1571"/>
    <n v="214"/>
    <n v="54"/>
    <n v="33"/>
    <n v="56330"/>
    <n v="4626"/>
    <m/>
    <m/>
    <m/>
    <m/>
    <n v="9"/>
    <n v="9"/>
    <x v="3"/>
  </r>
  <r>
    <x v="11"/>
    <n v="0.85955920041004608"/>
    <n v="1677"/>
    <n v="212"/>
    <n v="0"/>
    <n v="0"/>
    <n v="60342"/>
    <n v="4173"/>
    <m/>
    <m/>
    <m/>
    <m/>
    <n v="9"/>
    <n v="30"/>
    <x v="4"/>
  </r>
  <r>
    <x v="12"/>
    <n v="0.86724756535110203"/>
    <n v="1692"/>
    <n v="221"/>
    <n v="57"/>
    <n v="32"/>
    <n v="43504"/>
    <n v="3761"/>
    <n v="11"/>
    <n v="11"/>
    <n v="41"/>
    <n v="50"/>
    <n v="11"/>
    <n v="30"/>
    <x v="5"/>
  </r>
  <r>
    <x v="13"/>
    <n v="0.88364941055868784"/>
    <n v="1724"/>
    <n v="225"/>
    <n v="35"/>
    <n v="15"/>
    <n v="23351"/>
    <n v="2774"/>
    <n v="11"/>
    <n v="23"/>
    <n v="17"/>
    <n v="50"/>
    <n v="10"/>
    <n v="7"/>
    <x v="6"/>
  </r>
  <r>
    <x v="14"/>
    <n v="0.88928754484879546"/>
    <n v="1735"/>
    <n v="210"/>
    <n v="57"/>
    <n v="32"/>
    <n v="39103"/>
    <n v="4314"/>
    <n v="8"/>
    <n v="8"/>
    <n v="31"/>
    <n v="50"/>
    <n v="4"/>
    <n v="21"/>
    <x v="7"/>
  </r>
  <r>
    <x v="15"/>
    <n v="0.89185033316248075"/>
    <n v="1740"/>
    <n v="224"/>
    <n v="34"/>
    <n v="16"/>
    <n v="21328"/>
    <n v="2624"/>
    <n v="12"/>
    <n v="1"/>
    <n v="45"/>
    <n v="50"/>
    <n v="12"/>
    <n v="17"/>
    <x v="8"/>
  </r>
  <r>
    <x v="16"/>
    <n v="0.89441312147616603"/>
    <n v="1745"/>
    <n v="224"/>
    <n v="34"/>
    <n v="16"/>
    <n v="20732"/>
    <n v="2310"/>
    <n v="7"/>
    <n v="29"/>
    <n v="55"/>
    <n v="100"/>
    <n v="11"/>
    <n v="30"/>
    <x v="9"/>
  </r>
  <r>
    <x v="17"/>
    <n v="0.89851358277806248"/>
    <n v="1753"/>
    <n v="216"/>
    <n v="53"/>
    <n v="24"/>
    <n v="49122"/>
    <n v="5217"/>
    <n v="7"/>
    <n v="19"/>
    <n v="49"/>
    <n v="50"/>
    <n v="7"/>
    <n v="31"/>
    <x v="10"/>
  </r>
  <r>
    <x v="18"/>
    <n v="0.93798052280881594"/>
    <n v="1830"/>
    <n v="228"/>
    <n v="57"/>
    <n v="32"/>
    <n v="43228"/>
    <n v="5326"/>
    <n v="4"/>
    <n v="26"/>
    <n v="34"/>
    <n v="50"/>
    <n v="4"/>
    <n v="22"/>
    <x v="11"/>
  </r>
  <r>
    <x v="19"/>
    <n v="0.94823167606355718"/>
    <n v="1850"/>
    <n v="224"/>
    <n v="34"/>
    <n v="16"/>
    <n v="40343"/>
    <n v="4403"/>
    <n v="7"/>
    <n v="16"/>
    <n v="37"/>
    <n v="50"/>
    <n v="2"/>
    <n v="19"/>
    <x v="12"/>
  </r>
  <r>
    <x v="20"/>
    <n v="0.96617119425935416"/>
    <n v="1885"/>
    <n v="231"/>
    <n v="63"/>
    <n v="33"/>
    <n v="32173"/>
    <n v="3992"/>
    <n v="9"/>
    <n v="8"/>
    <n v="35"/>
    <n v="50"/>
    <n v="10"/>
    <n v="7"/>
    <x v="13"/>
  </r>
  <r>
    <x v="21"/>
    <n v="0.97488467452588412"/>
    <n v="1902"/>
    <n v="233"/>
    <n v="54"/>
    <n v="33"/>
    <n v="28119"/>
    <n v="3224"/>
    <n v="5"/>
    <n v="30"/>
    <n v="35"/>
    <n v="50"/>
    <n v="9"/>
    <n v="1"/>
    <x v="14"/>
  </r>
  <r>
    <x v="22"/>
    <n v="0.98257303946694008"/>
    <n v="1917"/>
    <n v="236"/>
    <n v="67"/>
    <n v="46"/>
    <n v="36268"/>
    <n v="4567"/>
    <n v="9"/>
    <n v="23"/>
    <n v="29"/>
    <n v="50"/>
    <n v="12"/>
    <n v="7"/>
    <x v="15"/>
  </r>
  <r>
    <x v="23"/>
    <n v="0.98462327011788831"/>
    <n v="1921"/>
    <n v="245"/>
    <n v="45"/>
    <n v="25"/>
    <n v="26298"/>
    <n v="2984"/>
    <n v="8"/>
    <n v="12"/>
    <n v="42"/>
    <n v="50"/>
    <n v="12"/>
    <n v="4"/>
    <x v="16"/>
  </r>
  <r>
    <x v="24"/>
    <n v="1"/>
    <n v="1951"/>
    <n v="235"/>
    <n v="44"/>
    <n v="41"/>
    <n v="19326"/>
    <n v="2745"/>
    <n v="9"/>
    <n v="15"/>
    <n v="34"/>
    <n v="50"/>
    <n v="2"/>
    <n v="19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F87D19-5D4F-4589-996B-31182AB7EFCC}" name="数据透视表6" cacheId="21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A1:B27" firstHeaderRow="1" firstDataRow="1" firstDataCol="1"/>
  <pivotFields count="15">
    <pivotField axis="axisRow" showAll="0">
      <items count="26">
        <item x="1"/>
        <item x="23"/>
        <item x="7"/>
        <item x="16"/>
        <item x="18"/>
        <item x="4"/>
        <item x="13"/>
        <item x="5"/>
        <item x="2"/>
        <item x="21"/>
        <item x="11"/>
        <item x="9"/>
        <item x="22"/>
        <item x="3"/>
        <item x="20"/>
        <item x="24"/>
        <item x="10"/>
        <item x="12"/>
        <item x="14"/>
        <item x="15"/>
        <item x="0"/>
        <item x="6"/>
        <item x="17"/>
        <item x="19"/>
        <item x="8"/>
        <item t="default"/>
      </items>
    </pivotField>
    <pivotField numFmtId="10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最大值项:处理通告最多的数量" fld="14" subtotal="max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AADB7-B896-4331-A211-6FE8BCCA0781}">
  <dimension ref="A1:B27"/>
  <sheetViews>
    <sheetView workbookViewId="0">
      <selection activeCell="G25" sqref="G25"/>
    </sheetView>
  </sheetViews>
  <sheetFormatPr defaultRowHeight="14.4" x14ac:dyDescent="0.25"/>
  <cols>
    <col min="1" max="1" width="10.109375" bestFit="1" customWidth="1"/>
    <col min="2" max="2" width="32" bestFit="1" customWidth="1"/>
  </cols>
  <sheetData>
    <row r="1" spans="1:2" x14ac:dyDescent="0.25">
      <c r="A1" s="8" t="s">
        <v>43</v>
      </c>
      <c r="B1" t="s">
        <v>42</v>
      </c>
    </row>
    <row r="2" spans="1:2" x14ac:dyDescent="0.25">
      <c r="A2" s="9" t="s">
        <v>8</v>
      </c>
      <c r="B2" s="5">
        <v>0</v>
      </c>
    </row>
    <row r="3" spans="1:2" x14ac:dyDescent="0.25">
      <c r="A3" s="9" t="s">
        <v>10</v>
      </c>
      <c r="B3" s="5">
        <v>0.53120243531202438</v>
      </c>
    </row>
    <row r="4" spans="1:2" x14ac:dyDescent="0.25">
      <c r="A4" s="9" t="s">
        <v>22</v>
      </c>
      <c r="B4" s="5">
        <v>0</v>
      </c>
    </row>
    <row r="5" spans="1:2" x14ac:dyDescent="0.25">
      <c r="A5" s="9" t="s">
        <v>16</v>
      </c>
      <c r="B5" s="5">
        <v>0.70167427701674279</v>
      </c>
    </row>
    <row r="6" spans="1:2" x14ac:dyDescent="0.25">
      <c r="A6" s="9" t="s">
        <v>13</v>
      </c>
      <c r="B6" s="5">
        <v>0.88736681887366819</v>
      </c>
    </row>
    <row r="7" spans="1:2" x14ac:dyDescent="0.25">
      <c r="A7" s="9" t="s">
        <v>19</v>
      </c>
      <c r="B7" s="5">
        <v>0</v>
      </c>
    </row>
    <row r="8" spans="1:2" x14ac:dyDescent="0.25">
      <c r="A8" s="9" t="s">
        <v>18</v>
      </c>
      <c r="B8" s="5">
        <v>1</v>
      </c>
    </row>
    <row r="9" spans="1:2" x14ac:dyDescent="0.25">
      <c r="A9" s="9" t="s">
        <v>20</v>
      </c>
      <c r="B9" s="5">
        <v>0</v>
      </c>
    </row>
    <row r="10" spans="1:2" x14ac:dyDescent="0.25">
      <c r="A10" s="9" t="s">
        <v>23</v>
      </c>
      <c r="B10" s="5">
        <v>0</v>
      </c>
    </row>
    <row r="11" spans="1:2" x14ac:dyDescent="0.25">
      <c r="A11" s="9" t="s">
        <v>9</v>
      </c>
      <c r="B11" s="5">
        <v>0.68797564687975643</v>
      </c>
    </row>
    <row r="12" spans="1:2" x14ac:dyDescent="0.25">
      <c r="A12" s="9" t="s">
        <v>0</v>
      </c>
      <c r="B12" s="5">
        <v>0.98934550989345504</v>
      </c>
    </row>
    <row r="13" spans="1:2" x14ac:dyDescent="0.25">
      <c r="A13" s="9" t="s">
        <v>5</v>
      </c>
      <c r="B13" s="5">
        <v>0.52359208523592082</v>
      </c>
    </row>
    <row r="14" spans="1:2" x14ac:dyDescent="0.25">
      <c r="A14" s="9" t="s">
        <v>15</v>
      </c>
      <c r="B14" s="5">
        <v>0.71537290715372903</v>
      </c>
    </row>
    <row r="15" spans="1:2" x14ac:dyDescent="0.25">
      <c r="A15" s="9" t="s">
        <v>32</v>
      </c>
      <c r="B15" s="5">
        <v>0</v>
      </c>
    </row>
    <row r="16" spans="1:2" x14ac:dyDescent="0.25">
      <c r="A16" s="9" t="s">
        <v>4</v>
      </c>
      <c r="B16" s="5">
        <v>0.82952815829528159</v>
      </c>
    </row>
    <row r="17" spans="1:2" x14ac:dyDescent="0.25">
      <c r="A17" s="9" t="s">
        <v>7</v>
      </c>
      <c r="B17" s="5">
        <v>0.46879756468797562</v>
      </c>
    </row>
    <row r="18" spans="1:2" x14ac:dyDescent="0.25">
      <c r="A18" s="9" t="s">
        <v>1</v>
      </c>
      <c r="B18" s="5">
        <v>0.67884322678843223</v>
      </c>
    </row>
    <row r="19" spans="1:2" x14ac:dyDescent="0.25">
      <c r="A19" s="9" t="s">
        <v>6</v>
      </c>
      <c r="B19" s="5">
        <v>0.82800608828006084</v>
      </c>
    </row>
    <row r="20" spans="1:2" x14ac:dyDescent="0.25">
      <c r="A20" s="9" t="s">
        <v>2</v>
      </c>
      <c r="B20" s="5">
        <v>0.68493150684931503</v>
      </c>
    </row>
    <row r="21" spans="1:2" x14ac:dyDescent="0.25">
      <c r="A21" s="9" t="s">
        <v>17</v>
      </c>
      <c r="B21" s="5">
        <v>0.72602739726027399</v>
      </c>
    </row>
    <row r="22" spans="1:2" x14ac:dyDescent="0.25">
      <c r="A22" s="9" t="s">
        <v>3</v>
      </c>
      <c r="B22" s="5">
        <v>0</v>
      </c>
    </row>
    <row r="23" spans="1:2" x14ac:dyDescent="0.25">
      <c r="A23" s="9" t="s">
        <v>21</v>
      </c>
      <c r="B23" s="5">
        <v>0</v>
      </c>
    </row>
    <row r="24" spans="1:2" x14ac:dyDescent="0.25">
      <c r="A24" s="9" t="s">
        <v>14</v>
      </c>
      <c r="B24" s="5">
        <v>0.62709284627092843</v>
      </c>
    </row>
    <row r="25" spans="1:2" x14ac:dyDescent="0.25">
      <c r="A25" s="9" t="s">
        <v>11</v>
      </c>
      <c r="B25" s="5">
        <v>0.58599695585996958</v>
      </c>
    </row>
    <row r="26" spans="1:2" x14ac:dyDescent="0.25">
      <c r="A26" s="9" t="s">
        <v>12</v>
      </c>
      <c r="B26" s="5">
        <v>0.54185692541856922</v>
      </c>
    </row>
    <row r="27" spans="1:2" x14ac:dyDescent="0.25">
      <c r="A27" s="9" t="s">
        <v>44</v>
      </c>
      <c r="B27" s="5">
        <v>1</v>
      </c>
    </row>
  </sheetData>
  <phoneticPr fontId="2" type="noConversion"/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6"/>
  <sheetViews>
    <sheetView tabSelected="1" topLeftCell="K1" zoomScale="85" zoomScaleNormal="85" workbookViewId="0">
      <selection activeCell="R9" sqref="R9"/>
    </sheetView>
  </sheetViews>
  <sheetFormatPr defaultColWidth="9" defaultRowHeight="14.4" x14ac:dyDescent="0.25"/>
  <cols>
    <col min="2" max="2" width="13.109375" customWidth="1"/>
    <col min="5" max="6" width="15.21875" customWidth="1"/>
    <col min="9" max="9" width="14.77734375" customWidth="1"/>
    <col min="10" max="11" width="37.88671875" customWidth="1"/>
    <col min="12" max="12" width="26.5546875" customWidth="1"/>
    <col min="13" max="13" width="27.21875" customWidth="1"/>
    <col min="14" max="14" width="29.77734375" customWidth="1"/>
    <col min="15" max="15" width="29.88671875" customWidth="1"/>
    <col min="16" max="16" width="23.6640625" customWidth="1"/>
  </cols>
  <sheetData>
    <row r="1" spans="1:17" ht="31.2" x14ac:dyDescent="0.25">
      <c r="A1" s="1" t="s">
        <v>24</v>
      </c>
      <c r="B1" s="4" t="s">
        <v>37</v>
      </c>
      <c r="C1" s="1" t="s">
        <v>25</v>
      </c>
      <c r="D1" s="4" t="s">
        <v>33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41</v>
      </c>
      <c r="L1" s="1" t="s">
        <v>40</v>
      </c>
      <c r="M1" s="1" t="s">
        <v>39</v>
      </c>
      <c r="N1" s="4" t="s">
        <v>34</v>
      </c>
      <c r="O1" s="4" t="s">
        <v>35</v>
      </c>
      <c r="P1" s="4" t="s">
        <v>36</v>
      </c>
      <c r="Q1" s="7"/>
    </row>
    <row r="2" spans="1:17" ht="15.6" x14ac:dyDescent="0.25">
      <c r="A2" s="1">
        <v>228234</v>
      </c>
      <c r="B2" s="4" t="s">
        <v>38</v>
      </c>
      <c r="C2" s="1" t="s">
        <v>3</v>
      </c>
      <c r="D2" s="5">
        <v>0.11173757047667862</v>
      </c>
      <c r="E2" s="6">
        <v>218</v>
      </c>
      <c r="F2" s="1">
        <v>27</v>
      </c>
      <c r="G2" s="1">
        <v>1</v>
      </c>
      <c r="H2" s="1">
        <v>0</v>
      </c>
      <c r="I2" s="3"/>
      <c r="J2" s="3"/>
      <c r="K2" s="3"/>
      <c r="L2" s="3"/>
      <c r="M2" s="3"/>
      <c r="N2" s="3"/>
      <c r="O2" s="3"/>
      <c r="P2" s="3"/>
    </row>
    <row r="3" spans="1:17" ht="15.6" x14ac:dyDescent="0.25">
      <c r="A3" s="1">
        <v>252127</v>
      </c>
      <c r="B3" s="4" t="s">
        <v>38</v>
      </c>
      <c r="C3" s="1" t="s">
        <v>8</v>
      </c>
      <c r="D3" s="5">
        <v>0.15274218349564325</v>
      </c>
      <c r="E3" s="6">
        <v>298</v>
      </c>
      <c r="F3" s="1">
        <v>38</v>
      </c>
      <c r="G3" s="1">
        <v>1</v>
      </c>
      <c r="H3" s="1">
        <v>0</v>
      </c>
      <c r="I3" s="3"/>
      <c r="J3" s="3"/>
      <c r="K3" s="3"/>
      <c r="L3" s="3"/>
      <c r="M3" s="3"/>
      <c r="N3" s="3"/>
      <c r="O3" s="3"/>
      <c r="P3" s="3"/>
    </row>
    <row r="4" spans="1:17" ht="15.6" x14ac:dyDescent="0.25">
      <c r="A4" s="1">
        <v>281217</v>
      </c>
      <c r="B4" s="4" t="s">
        <v>38</v>
      </c>
      <c r="C4" s="1" t="s">
        <v>23</v>
      </c>
      <c r="D4" s="5">
        <v>0.2009226037929267</v>
      </c>
      <c r="E4" s="6">
        <v>392</v>
      </c>
      <c r="F4" s="1">
        <v>54</v>
      </c>
      <c r="G4" s="1">
        <v>0</v>
      </c>
      <c r="H4" s="1">
        <v>0</v>
      </c>
      <c r="I4" s="3"/>
      <c r="J4" s="3"/>
      <c r="K4" s="3"/>
      <c r="L4" s="3"/>
      <c r="M4" s="3"/>
      <c r="N4" s="3"/>
      <c r="O4" s="3"/>
      <c r="P4" s="3"/>
    </row>
    <row r="5" spans="1:17" ht="15.6" x14ac:dyDescent="0.25">
      <c r="A5" s="1">
        <v>279462</v>
      </c>
      <c r="B5" s="4" t="s">
        <v>38</v>
      </c>
      <c r="C5" s="1" t="s">
        <v>32</v>
      </c>
      <c r="D5" s="5">
        <v>0.20604818042029729</v>
      </c>
      <c r="E5" s="6">
        <v>402</v>
      </c>
      <c r="F5" s="1">
        <v>54</v>
      </c>
      <c r="G5" s="1">
        <v>0</v>
      </c>
      <c r="H5" s="1">
        <v>0</v>
      </c>
      <c r="I5" s="2"/>
      <c r="J5" s="2"/>
      <c r="K5" s="3"/>
      <c r="L5" s="3"/>
      <c r="M5" s="2"/>
      <c r="N5" s="3"/>
      <c r="O5" s="3"/>
      <c r="P5" s="2"/>
    </row>
    <row r="6" spans="1:17" ht="15.6" x14ac:dyDescent="0.25">
      <c r="A6" s="1">
        <v>279458</v>
      </c>
      <c r="B6" s="4" t="s">
        <v>38</v>
      </c>
      <c r="C6" s="1" t="s">
        <v>19</v>
      </c>
      <c r="D6" s="5">
        <v>0.20656073808303435</v>
      </c>
      <c r="E6" s="6">
        <v>403</v>
      </c>
      <c r="F6" s="1">
        <v>54</v>
      </c>
      <c r="G6" s="1">
        <v>0</v>
      </c>
      <c r="H6" s="1">
        <v>0</v>
      </c>
      <c r="I6" s="3"/>
      <c r="J6" s="3"/>
      <c r="K6" s="3"/>
      <c r="L6" s="3"/>
      <c r="M6" s="3"/>
      <c r="N6" s="3"/>
      <c r="O6" s="3"/>
      <c r="P6" s="3"/>
    </row>
    <row r="7" spans="1:17" ht="15.6" x14ac:dyDescent="0.25">
      <c r="A7" s="1">
        <v>279461</v>
      </c>
      <c r="B7" s="4" t="s">
        <v>38</v>
      </c>
      <c r="C7" s="1" t="s">
        <v>20</v>
      </c>
      <c r="D7" s="5">
        <v>0.20707329574577141</v>
      </c>
      <c r="E7" s="6">
        <v>404</v>
      </c>
      <c r="F7" s="1">
        <v>54</v>
      </c>
      <c r="G7" s="1">
        <v>0</v>
      </c>
      <c r="H7" s="1">
        <v>0</v>
      </c>
      <c r="I7" s="3"/>
      <c r="J7" s="3"/>
      <c r="K7" s="3"/>
      <c r="L7" s="3"/>
      <c r="M7" s="3"/>
      <c r="N7" s="3"/>
      <c r="O7" s="3"/>
      <c r="P7" s="3"/>
    </row>
    <row r="8" spans="1:17" ht="15.6" x14ac:dyDescent="0.25">
      <c r="A8" s="1">
        <v>281215</v>
      </c>
      <c r="B8" s="4" t="s">
        <v>38</v>
      </c>
      <c r="C8" s="1" t="s">
        <v>21</v>
      </c>
      <c r="D8" s="5">
        <v>0.20707329574577141</v>
      </c>
      <c r="E8" s="6">
        <v>404</v>
      </c>
      <c r="F8" s="1">
        <v>54</v>
      </c>
      <c r="G8" s="1">
        <v>0</v>
      </c>
      <c r="H8" s="1">
        <v>0</v>
      </c>
      <c r="I8" s="3"/>
      <c r="J8" s="3"/>
      <c r="K8" s="3"/>
      <c r="L8" s="3"/>
      <c r="M8" s="3"/>
      <c r="N8" s="3"/>
      <c r="O8" s="3"/>
      <c r="P8" s="3"/>
    </row>
    <row r="9" spans="1:17" ht="15.6" x14ac:dyDescent="0.25">
      <c r="A9" s="1">
        <v>281216</v>
      </c>
      <c r="B9" s="4" t="s">
        <v>38</v>
      </c>
      <c r="C9" s="1" t="s">
        <v>22</v>
      </c>
      <c r="D9" s="5">
        <v>0.20707329574577141</v>
      </c>
      <c r="E9" s="6">
        <v>404</v>
      </c>
      <c r="F9" s="1">
        <v>54</v>
      </c>
      <c r="G9" s="1">
        <v>0</v>
      </c>
      <c r="H9" s="1">
        <v>0</v>
      </c>
      <c r="I9" s="3"/>
      <c r="J9" s="3"/>
      <c r="K9" s="3"/>
      <c r="L9" s="3"/>
      <c r="M9" s="3"/>
      <c r="N9" s="3"/>
      <c r="O9" s="3"/>
      <c r="P9" s="3"/>
    </row>
    <row r="10" spans="1:17" ht="15.6" x14ac:dyDescent="0.25">
      <c r="A10" s="1">
        <v>253439</v>
      </c>
      <c r="B10" s="4" t="s">
        <v>38</v>
      </c>
      <c r="C10" s="1" t="s">
        <v>12</v>
      </c>
      <c r="D10" s="5">
        <v>0.47462839569451565</v>
      </c>
      <c r="E10" s="6">
        <v>926</v>
      </c>
      <c r="F10" s="1">
        <v>112</v>
      </c>
      <c r="G10" s="1">
        <v>22</v>
      </c>
      <c r="H10" s="1">
        <v>15</v>
      </c>
      <c r="I10" s="1">
        <v>9032</v>
      </c>
      <c r="J10" s="1">
        <v>846</v>
      </c>
      <c r="K10" s="1">
        <v>11</v>
      </c>
      <c r="L10" s="1">
        <v>26</v>
      </c>
      <c r="M10" s="1">
        <v>5</v>
      </c>
      <c r="N10" s="1">
        <v>12</v>
      </c>
      <c r="O10" s="1">
        <v>8</v>
      </c>
      <c r="P10" s="1">
        <v>356</v>
      </c>
      <c r="Q10" s="7"/>
    </row>
    <row r="11" spans="1:17" ht="15.6" x14ac:dyDescent="0.25">
      <c r="A11" s="1">
        <v>240586</v>
      </c>
      <c r="B11" s="4" t="s">
        <v>38</v>
      </c>
      <c r="C11" s="1" t="s">
        <v>5</v>
      </c>
      <c r="D11" s="5">
        <v>0.72321886212198871</v>
      </c>
      <c r="E11" s="6">
        <v>1411</v>
      </c>
      <c r="F11" s="1">
        <v>173</v>
      </c>
      <c r="G11" s="1">
        <v>39</v>
      </c>
      <c r="H11" s="1">
        <v>19</v>
      </c>
      <c r="I11" s="1">
        <v>29871</v>
      </c>
      <c r="J11" s="1">
        <v>3439</v>
      </c>
      <c r="K11" s="1">
        <v>7</v>
      </c>
      <c r="L11" s="1">
        <v>23</v>
      </c>
      <c r="M11" s="1">
        <v>43</v>
      </c>
      <c r="N11" s="1">
        <v>5</v>
      </c>
      <c r="O11" s="1">
        <v>20</v>
      </c>
      <c r="P11" s="1">
        <v>344</v>
      </c>
      <c r="Q11" s="7"/>
    </row>
    <row r="12" spans="1:17" ht="15.6" x14ac:dyDescent="0.25">
      <c r="A12" s="1">
        <v>202747</v>
      </c>
      <c r="B12" s="4" t="s">
        <v>38</v>
      </c>
      <c r="C12" s="1" t="s">
        <v>1</v>
      </c>
      <c r="D12" s="5">
        <v>0.80522808815991798</v>
      </c>
      <c r="E12" s="6">
        <v>1571</v>
      </c>
      <c r="F12" s="1">
        <v>214</v>
      </c>
      <c r="G12" s="1">
        <v>54</v>
      </c>
      <c r="H12" s="1">
        <v>33</v>
      </c>
      <c r="I12" s="1">
        <v>56330</v>
      </c>
      <c r="J12" s="1">
        <v>4626</v>
      </c>
      <c r="K12" s="1"/>
      <c r="L12" s="1"/>
      <c r="M12" s="1"/>
      <c r="N12" s="1">
        <v>9</v>
      </c>
      <c r="O12" s="1">
        <v>9</v>
      </c>
      <c r="P12" s="1">
        <v>446</v>
      </c>
      <c r="Q12" s="7"/>
    </row>
    <row r="13" spans="1:17" ht="15.6" x14ac:dyDescent="0.25">
      <c r="A13" s="1">
        <v>192374</v>
      </c>
      <c r="B13" s="4" t="s">
        <v>38</v>
      </c>
      <c r="C13" s="1" t="s">
        <v>0</v>
      </c>
      <c r="D13" s="5">
        <v>0.85955920041004608</v>
      </c>
      <c r="E13" s="6">
        <v>1677</v>
      </c>
      <c r="F13" s="1">
        <v>212</v>
      </c>
      <c r="G13" s="1">
        <v>0</v>
      </c>
      <c r="H13" s="1">
        <v>0</v>
      </c>
      <c r="I13" s="1">
        <v>60342</v>
      </c>
      <c r="J13" s="1">
        <v>4173</v>
      </c>
      <c r="K13" s="1"/>
      <c r="L13" s="1"/>
      <c r="M13" s="1"/>
      <c r="N13" s="1">
        <v>9</v>
      </c>
      <c r="O13" s="1">
        <v>30</v>
      </c>
      <c r="P13" s="1">
        <v>650</v>
      </c>
      <c r="Q13" s="7"/>
    </row>
    <row r="14" spans="1:17" ht="15.6" x14ac:dyDescent="0.25">
      <c r="A14" s="1">
        <v>240587</v>
      </c>
      <c r="B14" s="4" t="s">
        <v>38</v>
      </c>
      <c r="C14" s="1" t="s">
        <v>6</v>
      </c>
      <c r="D14" s="5">
        <v>0.86724756535110203</v>
      </c>
      <c r="E14" s="6">
        <v>1692</v>
      </c>
      <c r="F14" s="1">
        <v>221</v>
      </c>
      <c r="G14" s="1">
        <v>57</v>
      </c>
      <c r="H14" s="1">
        <v>32</v>
      </c>
      <c r="I14" s="1">
        <v>43504</v>
      </c>
      <c r="J14" s="1">
        <v>3761</v>
      </c>
      <c r="K14" s="1">
        <v>11</v>
      </c>
      <c r="L14" s="1">
        <v>11</v>
      </c>
      <c r="M14" s="1">
        <v>41</v>
      </c>
      <c r="N14" s="1">
        <v>11</v>
      </c>
      <c r="O14" s="1">
        <v>30</v>
      </c>
      <c r="P14" s="1">
        <v>544</v>
      </c>
      <c r="Q14" s="7"/>
    </row>
    <row r="15" spans="1:17" ht="15.6" x14ac:dyDescent="0.25">
      <c r="A15" s="1">
        <v>276396</v>
      </c>
      <c r="B15" s="4" t="s">
        <v>38</v>
      </c>
      <c r="C15" s="1" t="s">
        <v>18</v>
      </c>
      <c r="D15" s="5">
        <v>0.88364941055868784</v>
      </c>
      <c r="E15" s="6">
        <v>1724</v>
      </c>
      <c r="F15" s="1">
        <v>225</v>
      </c>
      <c r="G15" s="1">
        <v>35</v>
      </c>
      <c r="H15" s="1">
        <v>15</v>
      </c>
      <c r="I15" s="1">
        <v>23351</v>
      </c>
      <c r="J15" s="1">
        <v>2774</v>
      </c>
      <c r="K15" s="1">
        <v>11</v>
      </c>
      <c r="L15" s="1">
        <v>23</v>
      </c>
      <c r="M15" s="1">
        <v>17</v>
      </c>
      <c r="N15" s="1">
        <v>10</v>
      </c>
      <c r="O15" s="1">
        <v>7</v>
      </c>
      <c r="P15" s="1">
        <v>657</v>
      </c>
      <c r="Q15" s="7"/>
    </row>
    <row r="16" spans="1:17" ht="15.6" x14ac:dyDescent="0.25">
      <c r="A16" s="1">
        <v>209433</v>
      </c>
      <c r="B16" s="4" t="s">
        <v>38</v>
      </c>
      <c r="C16" s="1" t="s">
        <v>2</v>
      </c>
      <c r="D16" s="5">
        <v>0.88928754484879546</v>
      </c>
      <c r="E16" s="6">
        <v>1735</v>
      </c>
      <c r="F16" s="1">
        <v>210</v>
      </c>
      <c r="G16" s="1">
        <v>57</v>
      </c>
      <c r="H16" s="1">
        <v>32</v>
      </c>
      <c r="I16" s="1">
        <v>39103</v>
      </c>
      <c r="J16" s="1">
        <v>4314</v>
      </c>
      <c r="K16" s="1">
        <v>8</v>
      </c>
      <c r="L16" s="1">
        <v>8</v>
      </c>
      <c r="M16" s="1">
        <v>31</v>
      </c>
      <c r="N16" s="1">
        <v>4</v>
      </c>
      <c r="O16" s="1">
        <v>21</v>
      </c>
      <c r="P16" s="1">
        <v>450</v>
      </c>
      <c r="Q16" s="7"/>
    </row>
    <row r="17" spans="1:17" ht="15.6" x14ac:dyDescent="0.25">
      <c r="A17" s="1">
        <v>276394</v>
      </c>
      <c r="B17" s="4" t="s">
        <v>38</v>
      </c>
      <c r="C17" s="1" t="s">
        <v>17</v>
      </c>
      <c r="D17" s="5">
        <v>0.89185033316248075</v>
      </c>
      <c r="E17" s="6">
        <v>1740</v>
      </c>
      <c r="F17" s="1">
        <v>224</v>
      </c>
      <c r="G17" s="1">
        <v>34</v>
      </c>
      <c r="H17" s="1">
        <v>16</v>
      </c>
      <c r="I17" s="1">
        <v>21328</v>
      </c>
      <c r="J17" s="1">
        <v>2624</v>
      </c>
      <c r="K17" s="1">
        <v>12</v>
      </c>
      <c r="L17" s="1">
        <v>1</v>
      </c>
      <c r="M17" s="1">
        <v>45</v>
      </c>
      <c r="N17" s="1">
        <v>12</v>
      </c>
      <c r="O17" s="1">
        <v>17</v>
      </c>
      <c r="P17" s="1">
        <v>477</v>
      </c>
      <c r="Q17" s="7"/>
    </row>
    <row r="18" spans="1:17" ht="15.6" x14ac:dyDescent="0.25">
      <c r="A18" s="1">
        <v>276392</v>
      </c>
      <c r="B18" s="4" t="s">
        <v>38</v>
      </c>
      <c r="C18" s="1" t="s">
        <v>16</v>
      </c>
      <c r="D18" s="5">
        <v>0.89441312147616603</v>
      </c>
      <c r="E18" s="6">
        <v>1745</v>
      </c>
      <c r="F18" s="1">
        <v>224</v>
      </c>
      <c r="G18" s="1">
        <v>34</v>
      </c>
      <c r="H18" s="1">
        <v>16</v>
      </c>
      <c r="I18" s="1">
        <v>20732</v>
      </c>
      <c r="J18" s="1">
        <v>2310</v>
      </c>
      <c r="K18" s="1">
        <v>7</v>
      </c>
      <c r="L18" s="1">
        <v>29</v>
      </c>
      <c r="M18" s="1">
        <v>55</v>
      </c>
      <c r="N18" s="1">
        <v>11</v>
      </c>
      <c r="O18" s="1">
        <v>30</v>
      </c>
      <c r="P18" s="1">
        <v>461</v>
      </c>
      <c r="Q18" s="7"/>
    </row>
    <row r="19" spans="1:17" ht="15.6" x14ac:dyDescent="0.25">
      <c r="A19" s="1">
        <v>264677</v>
      </c>
      <c r="B19" s="4" t="s">
        <v>38</v>
      </c>
      <c r="C19" s="1" t="s">
        <v>14</v>
      </c>
      <c r="D19" s="5">
        <v>0.89851358277806248</v>
      </c>
      <c r="E19" s="6">
        <v>1753</v>
      </c>
      <c r="F19" s="1">
        <v>216</v>
      </c>
      <c r="G19" s="1">
        <v>53</v>
      </c>
      <c r="H19" s="1">
        <v>24</v>
      </c>
      <c r="I19" s="1">
        <v>49122</v>
      </c>
      <c r="J19" s="1">
        <v>5217</v>
      </c>
      <c r="K19" s="1">
        <v>7</v>
      </c>
      <c r="L19" s="1">
        <v>19</v>
      </c>
      <c r="M19" s="1">
        <v>49</v>
      </c>
      <c r="N19" s="1">
        <v>7</v>
      </c>
      <c r="O19" s="1">
        <v>31</v>
      </c>
      <c r="P19" s="1">
        <v>412</v>
      </c>
      <c r="Q19" s="7"/>
    </row>
    <row r="20" spans="1:17" ht="15.6" x14ac:dyDescent="0.25">
      <c r="A20" s="1">
        <v>264674</v>
      </c>
      <c r="B20" s="4" t="s">
        <v>38</v>
      </c>
      <c r="C20" s="1" t="s">
        <v>13</v>
      </c>
      <c r="D20" s="5">
        <v>0.93798052280881594</v>
      </c>
      <c r="E20" s="6">
        <v>1830</v>
      </c>
      <c r="F20" s="1">
        <v>228</v>
      </c>
      <c r="G20" s="1">
        <v>57</v>
      </c>
      <c r="H20" s="1">
        <v>32</v>
      </c>
      <c r="I20" s="1">
        <v>43228</v>
      </c>
      <c r="J20" s="1">
        <v>5326</v>
      </c>
      <c r="K20" s="1">
        <v>4</v>
      </c>
      <c r="L20" s="1">
        <v>26</v>
      </c>
      <c r="M20" s="1">
        <v>34</v>
      </c>
      <c r="N20" s="1">
        <v>4</v>
      </c>
      <c r="O20" s="1">
        <v>22</v>
      </c>
      <c r="P20" s="1">
        <v>583</v>
      </c>
      <c r="Q20" s="7"/>
    </row>
    <row r="21" spans="1:17" ht="15.6" x14ac:dyDescent="0.25">
      <c r="A21" s="1">
        <v>252190</v>
      </c>
      <c r="B21" s="4" t="s">
        <v>38</v>
      </c>
      <c r="C21" s="1" t="s">
        <v>11</v>
      </c>
      <c r="D21" s="5">
        <v>0.94823167606355718</v>
      </c>
      <c r="E21" s="6">
        <v>1850</v>
      </c>
      <c r="F21" s="1">
        <v>224</v>
      </c>
      <c r="G21" s="1">
        <v>34</v>
      </c>
      <c r="H21" s="1">
        <v>16</v>
      </c>
      <c r="I21" s="1">
        <v>40343</v>
      </c>
      <c r="J21" s="1">
        <v>4403</v>
      </c>
      <c r="K21" s="1">
        <v>7</v>
      </c>
      <c r="L21" s="1">
        <v>16</v>
      </c>
      <c r="M21" s="1">
        <v>37</v>
      </c>
      <c r="N21" s="1">
        <v>2</v>
      </c>
      <c r="O21" s="1">
        <v>19</v>
      </c>
      <c r="P21" s="1">
        <v>385</v>
      </c>
      <c r="Q21" s="7"/>
    </row>
    <row r="22" spans="1:17" ht="15.6" x14ac:dyDescent="0.25">
      <c r="A22" s="1">
        <v>228240</v>
      </c>
      <c r="B22" s="4" t="s">
        <v>38</v>
      </c>
      <c r="C22" s="1" t="s">
        <v>4</v>
      </c>
      <c r="D22" s="5">
        <v>0.96617119425935416</v>
      </c>
      <c r="E22" s="6">
        <v>1885</v>
      </c>
      <c r="F22" s="1">
        <v>231</v>
      </c>
      <c r="G22" s="1">
        <v>63</v>
      </c>
      <c r="H22" s="1">
        <v>33</v>
      </c>
      <c r="I22" s="1">
        <v>32173</v>
      </c>
      <c r="J22" s="1">
        <v>3992</v>
      </c>
      <c r="K22" s="1">
        <v>9</v>
      </c>
      <c r="L22" s="1">
        <v>8</v>
      </c>
      <c r="M22" s="1">
        <v>35</v>
      </c>
      <c r="N22" s="1">
        <v>10</v>
      </c>
      <c r="O22" s="1">
        <v>7</v>
      </c>
      <c r="P22" s="1">
        <v>545</v>
      </c>
      <c r="Q22" s="7"/>
    </row>
    <row r="23" spans="1:17" ht="15.6" x14ac:dyDescent="0.25">
      <c r="A23" s="1">
        <v>252164</v>
      </c>
      <c r="B23" s="4" t="s">
        <v>38</v>
      </c>
      <c r="C23" s="1" t="s">
        <v>9</v>
      </c>
      <c r="D23" s="5">
        <v>0.97488467452588412</v>
      </c>
      <c r="E23" s="6">
        <v>1902</v>
      </c>
      <c r="F23" s="1">
        <v>233</v>
      </c>
      <c r="G23" s="1">
        <v>54</v>
      </c>
      <c r="H23" s="1">
        <v>33</v>
      </c>
      <c r="I23" s="1">
        <v>28119</v>
      </c>
      <c r="J23" s="1">
        <v>3224</v>
      </c>
      <c r="K23" s="1">
        <v>5</v>
      </c>
      <c r="L23" s="1">
        <v>30</v>
      </c>
      <c r="M23" s="1">
        <v>35</v>
      </c>
      <c r="N23" s="1">
        <v>9</v>
      </c>
      <c r="O23" s="1">
        <v>1</v>
      </c>
      <c r="P23" s="1">
        <v>452</v>
      </c>
      <c r="Q23" s="7"/>
    </row>
    <row r="24" spans="1:17" ht="15.6" x14ac:dyDescent="0.25">
      <c r="A24" s="1">
        <v>264694</v>
      </c>
      <c r="B24" s="4" t="s">
        <v>38</v>
      </c>
      <c r="C24" s="1" t="s">
        <v>15</v>
      </c>
      <c r="D24" s="5">
        <v>0.98257303946694008</v>
      </c>
      <c r="E24" s="6">
        <v>1917</v>
      </c>
      <c r="F24" s="1">
        <v>236</v>
      </c>
      <c r="G24" s="1">
        <v>67</v>
      </c>
      <c r="H24" s="1">
        <v>46</v>
      </c>
      <c r="I24" s="1">
        <v>36268</v>
      </c>
      <c r="J24" s="1">
        <v>4567</v>
      </c>
      <c r="K24" s="1">
        <v>9</v>
      </c>
      <c r="L24" s="1">
        <v>23</v>
      </c>
      <c r="M24" s="1">
        <v>29</v>
      </c>
      <c r="N24" s="1">
        <v>12</v>
      </c>
      <c r="O24" s="1">
        <v>7</v>
      </c>
      <c r="P24" s="1">
        <v>470</v>
      </c>
      <c r="Q24" s="7"/>
    </row>
    <row r="25" spans="1:17" ht="15.6" x14ac:dyDescent="0.25">
      <c r="A25" s="1">
        <v>252174</v>
      </c>
      <c r="B25" s="4" t="s">
        <v>38</v>
      </c>
      <c r="C25" s="1" t="s">
        <v>10</v>
      </c>
      <c r="D25" s="5">
        <v>0.98462327011788831</v>
      </c>
      <c r="E25" s="6">
        <v>1921</v>
      </c>
      <c r="F25" s="1">
        <v>245</v>
      </c>
      <c r="G25" s="1">
        <v>45</v>
      </c>
      <c r="H25" s="1">
        <v>25</v>
      </c>
      <c r="I25" s="1">
        <v>26298</v>
      </c>
      <c r="J25" s="1">
        <v>2984</v>
      </c>
      <c r="K25" s="1">
        <v>8</v>
      </c>
      <c r="L25" s="1">
        <v>12</v>
      </c>
      <c r="M25" s="1">
        <v>42</v>
      </c>
      <c r="N25" s="1">
        <v>12</v>
      </c>
      <c r="O25" s="1">
        <v>4</v>
      </c>
      <c r="P25" s="1">
        <v>349</v>
      </c>
      <c r="Q25" s="7"/>
    </row>
    <row r="26" spans="1:17" ht="15.6" x14ac:dyDescent="0.25">
      <c r="A26" s="1">
        <v>240595</v>
      </c>
      <c r="B26" s="4" t="s">
        <v>38</v>
      </c>
      <c r="C26" s="1" t="s">
        <v>7</v>
      </c>
      <c r="D26" s="5">
        <v>1</v>
      </c>
      <c r="E26" s="6">
        <v>1951</v>
      </c>
      <c r="F26" s="1">
        <v>235</v>
      </c>
      <c r="G26" s="1">
        <v>44</v>
      </c>
      <c r="H26" s="1">
        <v>41</v>
      </c>
      <c r="I26" s="1">
        <v>19326</v>
      </c>
      <c r="J26" s="1">
        <v>2745</v>
      </c>
      <c r="K26" s="1">
        <v>9</v>
      </c>
      <c r="L26" s="1">
        <v>15</v>
      </c>
      <c r="M26" s="1">
        <v>34</v>
      </c>
      <c r="N26" s="1">
        <v>2</v>
      </c>
      <c r="O26" s="1">
        <v>19</v>
      </c>
      <c r="P26" s="1">
        <v>308</v>
      </c>
      <c r="Q26" s="7"/>
    </row>
  </sheetData>
  <autoFilter ref="A1:P26" xr:uid="{00000000-0001-0000-0100-000000000000}">
    <sortState xmlns:xlrd2="http://schemas.microsoft.com/office/spreadsheetml/2017/richdata2" ref="A2:P26">
      <sortCondition ref="E2:E26"/>
    </sortState>
  </autoFilter>
  <sortState xmlns:xlrd2="http://schemas.microsoft.com/office/spreadsheetml/2017/richdata2" ref="A2:P26">
    <sortCondition ref="D2:D26"/>
  </sortState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处理量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青蛙</cp:lastModifiedBy>
  <dcterms:created xsi:type="dcterms:W3CDTF">2022-01-19T11:47:57Z</dcterms:created>
  <dcterms:modified xsi:type="dcterms:W3CDTF">2022-01-26T08:27:18Z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2052-11.8.2.9022</vt:lpwstr>
  </property>
</Properties>
</file>